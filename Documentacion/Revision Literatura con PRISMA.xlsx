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RAI-PORTATIL\Downloads\"/>
    </mc:Choice>
  </mc:AlternateContent>
  <xr:revisionPtr revIDLastSave="0" documentId="13_ncr:1_{BD2E43CE-3E89-49DE-90D6-6096AC975D0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ocumentos" sheetId="2" r:id="rId1"/>
    <sheet name="Búsqueda" sheetId="3" r:id="rId2"/>
    <sheet name="PRISMA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7" i="4" l="1"/>
  <c r="B26" i="4"/>
  <c r="B12" i="4"/>
  <c r="B4" i="4"/>
  <c r="B7" i="4" s="1"/>
  <c r="B9" i="4" s="1"/>
  <c r="B11" i="4" s="1"/>
  <c r="B13" i="4" l="1"/>
</calcChain>
</file>

<file path=xl/sharedStrings.xml><?xml version="1.0" encoding="utf-8"?>
<sst xmlns="http://schemas.openxmlformats.org/spreadsheetml/2006/main" count="258" uniqueCount="212">
  <si>
    <t>ID</t>
  </si>
  <si>
    <t>Tipo</t>
  </si>
  <si>
    <t>Autor(es)</t>
  </si>
  <si>
    <t>Año</t>
  </si>
  <si>
    <t>Título</t>
  </si>
  <si>
    <t>Fuente</t>
  </si>
  <si>
    <t>País / contexto</t>
  </si>
  <si>
    <t>Método y muestra</t>
  </si>
  <si>
    <t>Hallazgo clave</t>
  </si>
  <si>
    <t>Factor relacionado</t>
  </si>
  <si>
    <t>Variable de resultado</t>
  </si>
  <si>
    <t>Limitación para nuestro caso</t>
  </si>
  <si>
    <t>Enlace / DOI</t>
  </si>
  <si>
    <t>Verificación</t>
  </si>
  <si>
    <t>Decisión (Incluir / Excluir / Por evaluar)</t>
  </si>
  <si>
    <t>D01</t>
  </si>
  <si>
    <t>Académico (teórico)</t>
  </si>
  <si>
    <t>Bitner, M. J.</t>
  </si>
  <si>
    <t>Servicescapes: The impact of physical surroundings on customers and employees</t>
  </si>
  <si>
    <t>Journal of Marketing 56(2), 57–71</t>
  </si>
  <si>
    <t>No aplica (marco conceptual)</t>
  </si>
  <si>
    <t>Marco conceptual</t>
  </si>
  <si>
    <t>El entorno físico influye en el comportamiento de clientes y empleados y puede ser herramienta estratégica</t>
  </si>
  <si>
    <t>Ambiente</t>
  </si>
  <si>
    <t>No aplica</t>
  </si>
  <si>
    <t>No es específico de cafeterías ni mide frecuencia o gasto</t>
  </si>
  <si>
    <t>https://doi.org/10.1177/002224299205600205</t>
  </si>
  <si>
    <t>Resumen</t>
  </si>
  <si>
    <t>Incluir</t>
  </si>
  <si>
    <t>D02</t>
  </si>
  <si>
    <t>Académico</t>
  </si>
  <si>
    <t>Choi, S.-J.</t>
  </si>
  <si>
    <t>The effects of customer quality assessment on satisfaction, self-efficacy, and loyalty in franchised coffee shops</t>
  </si>
  <si>
    <t>The Korean Journal of Franchise Management 11(1), 19–29</t>
  </si>
  <si>
    <t>Corea del Sur (cafeterías de franquicia)</t>
  </si>
  <si>
    <t>Análisis factorial y modelo estructural; n/d</t>
  </si>
  <si>
    <t>Cuatro dimensiones de calidad (menú, ambiente, servicio, economía); los clientes valoran más menú y precio que el interior</t>
  </si>
  <si>
    <t>Experiencia de consumo; Ambiente</t>
  </si>
  <si>
    <t>Satisfacción, lealtad</t>
  </si>
  <si>
    <t>Franquicias; mide lealtad, no frecuencia ni gasto</t>
  </si>
  <si>
    <t>https://koreascience.or.kr/article/JAKO202006859914988.pdf</t>
  </si>
  <si>
    <t>D03</t>
  </si>
  <si>
    <t>Haktanir, M.; Gullu, E.</t>
  </si>
  <si>
    <t>Place attachment in coffee shops: A customer perspective study in North Cyprus</t>
  </si>
  <si>
    <t>Journal of Hospitality and Tourism Insights 7(1), 312–328</t>
  </si>
  <si>
    <t>Norte de Chipre</t>
  </si>
  <si>
    <t>Cualitativo; estudio de caso de 2 cafeterías (clientes, gerentes y personal)</t>
  </si>
  <si>
    <t>Red social entre clientes y empleados, sensación de hogar y pertenencia explican las visitas repetidas</t>
  </si>
  <si>
    <t>Interacción con el personal; Frecuencia</t>
  </si>
  <si>
    <t>Visitas repetidas</t>
  </si>
  <si>
    <t>Cualitativo, solo 2 casos</t>
  </si>
  <si>
    <t>https://doi.org/10.1108/JHTI-05-2022-0185</t>
  </si>
  <si>
    <t>D04</t>
  </si>
  <si>
    <t>Kim, B.; Kim, D.</t>
  </si>
  <si>
    <t>A longitudinal study of habit and its antecedents in coffee chain patronage</t>
  </si>
  <si>
    <t>Social Behavior and Personality 47(3), e7519</t>
  </si>
  <si>
    <t>Corea del Sur (según afiliación de los autores; verificar)</t>
  </si>
  <si>
    <t>PLS en dos momentos; 195 estudiantes universitarios</t>
  </si>
  <si>
    <t>La recompra depende más del hábito que de la intención; calidad del café y del servicio influyen en satisfacción y valor; el ambiente no fue significativo</t>
  </si>
  <si>
    <t>Ambiente; Personal; Frecuencia</t>
  </si>
  <si>
    <t>Recompra / visitas habituales</t>
  </si>
  <si>
    <t>Muestra de estudiantes; cadenas</t>
  </si>
  <si>
    <t>https://doi.org/10.2224/sbp.7519</t>
  </si>
  <si>
    <t>D05</t>
  </si>
  <si>
    <r>
      <rPr>
        <sz val="10"/>
        <rFont val="Arial"/>
        <charset val="1"/>
      </rPr>
      <t>Kim, J. (</t>
    </r>
    <r>
      <rPr>
        <sz val="10"/>
        <rFont val="Noto Sans CJK SC"/>
        <family val="2"/>
      </rPr>
      <t>김진영</t>
    </r>
    <r>
      <rPr>
        <sz val="10"/>
        <rFont val="Arial"/>
        <charset val="1"/>
      </rPr>
      <t>; verificar nombre en caracteres latinos)</t>
    </r>
  </si>
  <si>
    <t>Structural relationships of cognitive, emotional, and behavioral evaluations of coffee shops</t>
  </si>
  <si>
    <t>The Korean Journal of Franchise Management 13(3), 31–43</t>
  </si>
  <si>
    <t>Corea del Sur (según afiliación; verificar)</t>
  </si>
  <si>
    <t>Modelo estructural (SmartPLS); clientes que visitaron una cafetería el último mes; n/d</t>
  </si>
  <si>
    <t>La satisfacción se asocia con el dinero dispuesto a gastar y la frecuencia de visita; la calidad del servicio influye en emociones</t>
  </si>
  <si>
    <t>Personal (calidad del servicio); Frecuencia y gasto</t>
  </si>
  <si>
    <t>Dinero a gastar; frecuencia de visita</t>
  </si>
  <si>
    <t>Autoinforme; otro país</t>
  </si>
  <si>
    <t>https://accesson.kr/kjfm/v.13/3/31/37534</t>
  </si>
  <si>
    <t>D06</t>
  </si>
  <si>
    <t>Académico (regional)</t>
  </si>
  <si>
    <t>Mendoza Serna, J. E.</t>
  </si>
  <si>
    <t>Marketing experiencial para la fidelización de los clientes en los cafés gourmet</t>
  </si>
  <si>
    <t>Marketing Visionario 6(2), 95–113</t>
  </si>
  <si>
    <t>Maracaibo, Venezuela</t>
  </si>
  <si>
    <t>Cuasiexperimento; 12 participantes; muestreo intencional; cuestionarios mixtos</t>
  </si>
  <si>
    <t>Los participantes valoran al personal y el ambiente; los cafés tienen poco desarrollados los programas de fidelización</t>
  </si>
  <si>
    <t>Personal; Ambiente; Experiencia</t>
  </si>
  <si>
    <t>Fidelización (percepción)</t>
  </si>
  <si>
    <t>Muestra muy pequeña; no se calculó confiabilidad; no es Colombia</t>
  </si>
  <si>
    <t>https://ojs2.urbe.edu/index.php/market/article/download/1685/1621/3915</t>
  </si>
  <si>
    <t>Texto completo</t>
  </si>
  <si>
    <t>D07</t>
  </si>
  <si>
    <t>Nadiri, H.; Gunay, G. N.</t>
  </si>
  <si>
    <t>An empirical study to diagnose the outcomes of customers’ experiences in trendy coffee shops</t>
  </si>
  <si>
    <t>Journal of Business Economics and Management 14(1), 22–53</t>
  </si>
  <si>
    <t>Norte de Chipre (Gloria Jean’s Coffees)</t>
  </si>
  <si>
    <t>PLS-SEM; 450 clientes jóvenes</t>
  </si>
  <si>
    <t>Algunos módulos experienciales y la calidad percibida influyen positivamente en la experiencia; la satisfacción se asocia con boca a boca e intención de volver</t>
  </si>
  <si>
    <t>Experiencia; Personal; Ambiente</t>
  </si>
  <si>
    <t>Satisfacción, recomendación, intención de volver</t>
  </si>
  <si>
    <t>Una cadena; jóvenes; intenciones</t>
  </si>
  <si>
    <t>https://doi.org/10.3846/16111699.2011.631742</t>
  </si>
  <si>
    <t>D08</t>
  </si>
  <si>
    <t>D09</t>
  </si>
  <si>
    <t>Rashid, N.; Nika, F. A.; Thomas, G.</t>
  </si>
  <si>
    <t>Impact of service encounter elements on experiential value and customer loyalty: An empirical investigation in the coffee shop context</t>
  </si>
  <si>
    <t>SAGE Open 11(4)</t>
  </si>
  <si>
    <t>n/d (verificar)</t>
  </si>
  <si>
    <t>SEM; 387 clientes; muestreo intencional</t>
  </si>
  <si>
    <t>El encuentro de servicio se relaciona con valor experiencial y lealtad; el valor experiencial media parcialmente</t>
  </si>
  <si>
    <t>Personal; Experiencia</t>
  </si>
  <si>
    <t>Lealtad</t>
  </si>
  <si>
    <t>Muestreo no probabilístico; lealtad declarada</t>
  </si>
  <si>
    <t>https://doi.org/10.1177/21582440211061385</t>
  </si>
  <si>
    <t>D10</t>
  </si>
  <si>
    <t>D11</t>
  </si>
  <si>
    <t>Literatura gris (prensa)</t>
  </si>
  <si>
    <t>Agronegocios (con datos de RappiAds)</t>
  </si>
  <si>
    <t>2026 (1 oct.)</t>
  </si>
  <si>
    <t>Radiografía de Rappi muestra que el consumo de café crece en ciudades de la Costa Caribe</t>
  </si>
  <si>
    <t>Agronegocios.co</t>
  </si>
  <si>
    <t>Colombia (pedidos en Rappi, ene–ago 2026)</t>
  </si>
  <si>
    <t>Análisis de pedidos de una plataforma</t>
  </si>
  <si>
    <t>Bogotá tiene más pedidos de café y el ticket promedio más alto; ganan espacio los cafés premium y de origen</t>
  </si>
  <si>
    <t>Contexto</t>
  </si>
  <si>
    <t>Pedidos / ticket</t>
  </si>
  <si>
    <t>Fuente comercial; domicilios, no visitas</t>
  </si>
  <si>
    <t>https://www.agronegocios.co/mercados/radiografia-de-rappi-muestra-que-el-consumo-de-cafe-crece-en-ciudades-de-la-costa-caribe-4494576</t>
  </si>
  <si>
    <t>La República (cifras de Euromonitor)</t>
  </si>
  <si>
    <t>2019 (18 sep.)</t>
  </si>
  <si>
    <t>Los planes de expansión que tienen las tiendas especializadas en el consumo de café</t>
  </si>
  <si>
    <t>larepublica.co</t>
  </si>
  <si>
    <t>Colombia</t>
  </si>
  <si>
    <t>Nota periodística con cifras de Euromonitor</t>
  </si>
  <si>
    <t>Tiendas especializadas de café crecieron 61,1% entre 2013 y 2018</t>
  </si>
  <si>
    <t>Número / ventas de tiendas</t>
  </si>
  <si>
    <t>Cifra de 2019; incluye cadenas</t>
  </si>
  <si>
    <t>https://www.larepublica.co/empresas/los-planes-de-expansion-que-tienen-las-tiendas-especializadas-en-el-consumo-de-cafe-2909451</t>
  </si>
  <si>
    <t>Literatura gris (Distrito)</t>
  </si>
  <si>
    <t>Secretaría Distrital de Desarrollo Económico</t>
  </si>
  <si>
    <t>2026 (21 ago.)</t>
  </si>
  <si>
    <t>Bogotá busca productores de cafés de especialidad para conectarlos con nuevos compradores y mercados</t>
  </si>
  <si>
    <t>bogota.gov.co</t>
  </si>
  <si>
    <t>Bogotá</t>
  </si>
  <si>
    <t>Comunicado de convocatoria 'Hecho en Bogotá'</t>
  </si>
  <si>
    <t>Muestra interés institucional del Distrito en el café de especialidad</t>
  </si>
  <si>
    <t>Solo comunicado; no hay datos de consumo</t>
  </si>
  <si>
    <t>https://bogota.gov.co/mi-ciudad/desarrollo-economico/bogota-busca-productores-de-cafes-para-conectarlos-con-mercados-2026</t>
  </si>
  <si>
    <t>Registro de búsquedas (una fila por búsqueda)</t>
  </si>
  <si>
    <t>Fecha</t>
  </si>
  <si>
    <t>Base o fuente</t>
  </si>
  <si>
    <t>Ecuación / términos de búsqueda</t>
  </si>
  <si>
    <t>Filtros (años, idioma, tipo)</t>
  </si>
  <si>
    <t>Resultados encontrados</t>
  </si>
  <si>
    <t>Quién buscó</t>
  </si>
  <si>
    <t>Google Scholar</t>
  </si>
  <si>
    <t>"coffee shop" "visit frequency" spending experience servicescape</t>
  </si>
  <si>
    <t>2015–2026; inglés; primeros 50 resultados revisados</t>
  </si>
  <si>
    <t>SciELO</t>
  </si>
  <si>
    <t>Dialnet</t>
  </si>
  <si>
    <t>(cafeterías OR "cafés de especialidad") AND (fidelización OR "frecuencia de visita" OR gasto) AND (experiencia OR ambiente OR servicio)</t>
  </si>
  <si>
    <t>cafeterías "experiencia del cliente"</t>
  </si>
  <si>
    <t>"specialty coffee" consumers (Colombia OR Bogotá OR "Latin America")</t>
  </si>
  <si>
    <t>"coffee shop" (loyalty OR "customer experience" OR "service quality" OR servicescape)</t>
  </si>
  <si>
    <t>bogota.gov.co (Secretaría de Desarrollo Económico)</t>
  </si>
  <si>
    <t>"café de especialidad" cafeterías Bogotá</t>
  </si>
  <si>
    <t>2020–2026; documentos oficiales</t>
  </si>
  <si>
    <t>Prensa: La República, Portafolio, El Tiempo</t>
  </si>
  <si>
    <t>"cafés de especialidad" Bogotá cafeterías Chapinero</t>
  </si>
  <si>
    <t>2020–2026; notas periodísticas; primeros 20 resultados revisados</t>
  </si>
  <si>
    <t>Flujo PRISMA (completen las celdas azules)</t>
  </si>
  <si>
    <t>Etapa</t>
  </si>
  <si>
    <t>Número</t>
  </si>
  <si>
    <t>Cómo se calcula / qué anotar</t>
  </si>
  <si>
    <t>Registros identificados en las bases</t>
  </si>
  <si>
    <t>Suma de 'Resultados encontrados' de la hoja Búsqueda (filas 4 a 30).</t>
  </si>
  <si>
    <t>Registros adicionales (literatura gris, referencias de otros textos)</t>
  </si>
  <si>
    <t>Documentos de la búsqueda exploratoria inicial (hoja Documentos, columna P).</t>
  </si>
  <si>
    <t>Duplicados eliminados</t>
  </si>
  <si>
    <t>Duplicados entre las diversas fuentes.</t>
  </si>
  <si>
    <t>Registros cribados (título y resumen)</t>
  </si>
  <si>
    <t>Identificados + adicionales − duplicados</t>
  </si>
  <si>
    <t>Excluidos en título y resumen</t>
  </si>
  <si>
    <t>Escriban cuántos descartaron al leer título y resumen</t>
  </si>
  <si>
    <t>Textos completos evaluados</t>
  </si>
  <si>
    <t>Cribados − excluidos</t>
  </si>
  <si>
    <t>Excluidos tras leer el texto completo</t>
  </si>
  <si>
    <t>Escriban cuántos descartaron al leer el texto completo</t>
  </si>
  <si>
    <t>Documentos incluidos en la revisión</t>
  </si>
  <si>
    <t>Evaluados − excluidos. Debe coincidir con las filas 'Incluir' de la hoja Documentos</t>
  </si>
  <si>
    <t>Control: filas 'Incluir' en Documentos</t>
  </si>
  <si>
    <t>Cuenta automática</t>
  </si>
  <si>
    <t>¿Coinciden?</t>
  </si>
  <si>
    <t>Pendiente = faltan B8 y B10. Si dice 'Revisar', ajusten los conteos</t>
  </si>
  <si>
    <t>Criterios de inclusión y exclusión</t>
  </si>
  <si>
    <t>Incluir: estudios sobre cafeterías, coffee shops o servicios similares, de cualquier país, que analicen ambiente, personal o experiencia de consumo y su relación con satisfacción, lealtad, frecuencia de visita o gasto.</t>
  </si>
  <si>
    <t>Incluir: documentos del Distrito, gremios o prensa con datos sobre el mercado de café de especialidad en Bogotá o Colombia.</t>
  </si>
  <si>
    <t>Excluir: estudios sobre producción de café, exportaciones o cultivo; textos sin método descrito; duplicados.</t>
  </si>
  <si>
    <t>Motivos de exclusión (anoten cuántos documentos por cada motivo; no incluyen los duplicados)</t>
  </si>
  <si>
    <t>Motivo</t>
  </si>
  <si>
    <t>Cantidad</t>
  </si>
  <si>
    <t>No trata de cafeterías o servicios similares</t>
  </si>
  <si>
    <t>No analiza ambiente, personal ni experiencia</t>
  </si>
  <si>
    <t>Sin método o datos claros</t>
  </si>
  <si>
    <t>Repetido o redundante frente a otra fuente</t>
  </si>
  <si>
    <t>Total de motivos</t>
  </si>
  <si>
    <t>Excluidos según el flujo (B8 + B10)</t>
  </si>
  <si>
    <t>coffee shop (loyalty OR "customer experience" OR "service quality" OR servicescape)</t>
  </si>
  <si>
    <t>Santiago</t>
  </si>
  <si>
    <t>Angelica</t>
  </si>
  <si>
    <t>Juanes</t>
  </si>
  <si>
    <t>Maria Paula</t>
  </si>
  <si>
    <t>Excluir</t>
  </si>
  <si>
    <t>Cómo se encontró</t>
  </si>
  <si>
    <t>Bogota.gov</t>
  </si>
  <si>
    <t>La republica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</si>
</sst>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name val="Noto Sans CJK SC"/>
      <family val="2"/>
    </font>
    <font>
      <b/>
      <sz val="12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0" xfId="0" applyFont="1" applyAlignment="1"/>
    <xf numFmtId="0" fontId="6" fillId="0" borderId="0" xfId="0" applyFont="1" applyAlignment="1"/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" fillId="0" borderId="0" xfId="0" applyFont="1" applyBorder="1" applyAlignment="1">
      <alignment wrapText="1"/>
    </xf>
    <xf numFmtId="0" fontId="2" fillId="0" borderId="0" xfId="0" applyFont="1" applyBorder="1"/>
    <xf numFmtId="0" fontId="1" fillId="0" borderId="1" xfId="0" applyFont="1" applyBorder="1" applyAlignment="1"/>
    <xf numFmtId="0" fontId="4" fillId="0" borderId="1" xfId="0" applyFont="1" applyBorder="1" applyAlignment="1"/>
    <xf numFmtId="0" fontId="2" fillId="0" borderId="1" xfId="0" applyFont="1" applyBorder="1" applyAlignment="1"/>
    <xf numFmtId="14" fontId="4" fillId="0" borderId="1" xfId="0" applyNumberFormat="1" applyFont="1" applyBorder="1" applyAlignment="1">
      <alignment vertical="top"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tabSelected="1" zoomScaleNormal="100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P13" sqref="P13"/>
    </sheetView>
  </sheetViews>
  <sheetFormatPr baseColWidth="10" defaultColWidth="8.7109375" defaultRowHeight="15"/>
  <cols>
    <col min="1" max="1" width="6" style="1" customWidth="1"/>
    <col min="2" max="2" width="18" style="1" customWidth="1"/>
    <col min="3" max="3" width="24" style="1" customWidth="1"/>
    <col min="4" max="4" width="9" style="1" customWidth="1"/>
    <col min="5" max="5" width="38" style="1" customWidth="1"/>
    <col min="6" max="6" width="28" style="1" customWidth="1"/>
    <col min="7" max="7" width="22" style="1" customWidth="1"/>
    <col min="8" max="8" width="30" style="1" customWidth="1"/>
    <col min="9" max="9" width="42" style="1" customWidth="1"/>
    <col min="10" max="11" width="22" style="1" customWidth="1"/>
    <col min="12" max="12" width="30" style="1" customWidth="1"/>
    <col min="13" max="13" width="38" style="1" customWidth="1"/>
    <col min="14" max="14" width="13" style="1" customWidth="1"/>
    <col min="15" max="15" width="18" style="1" customWidth="1"/>
    <col min="16" max="16" width="30" customWidth="1"/>
  </cols>
  <sheetData>
    <row r="1" spans="1:16" ht="34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209</v>
      </c>
    </row>
    <row r="2" spans="1:16" ht="34.5" customHeight="1">
      <c r="A2" s="3" t="s">
        <v>15</v>
      </c>
      <c r="B2" s="3" t="s">
        <v>16</v>
      </c>
      <c r="C2" s="3" t="s">
        <v>17</v>
      </c>
      <c r="D2" s="3">
        <v>1992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4" t="s">
        <v>27</v>
      </c>
      <c r="O2" s="4" t="s">
        <v>28</v>
      </c>
      <c r="P2" s="3" t="s">
        <v>151</v>
      </c>
    </row>
    <row r="3" spans="1:16" ht="34.5" customHeight="1">
      <c r="A3" s="3" t="s">
        <v>29</v>
      </c>
      <c r="B3" s="3" t="s">
        <v>30</v>
      </c>
      <c r="C3" s="3" t="s">
        <v>31</v>
      </c>
      <c r="D3" s="3">
        <v>2020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4" t="s">
        <v>27</v>
      </c>
      <c r="O3" s="4" t="s">
        <v>28</v>
      </c>
      <c r="P3" s="3" t="s">
        <v>151</v>
      </c>
    </row>
    <row r="4" spans="1:16" ht="34.5" customHeight="1">
      <c r="A4" s="3" t="s">
        <v>41</v>
      </c>
      <c r="B4" s="3" t="s">
        <v>30</v>
      </c>
      <c r="C4" s="3" t="s">
        <v>42</v>
      </c>
      <c r="D4" s="3">
        <v>2024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27</v>
      </c>
      <c r="O4" s="4" t="s">
        <v>28</v>
      </c>
      <c r="P4" s="3" t="s">
        <v>151</v>
      </c>
    </row>
    <row r="5" spans="1:16" ht="34.5" customHeight="1">
      <c r="A5" s="3" t="s">
        <v>52</v>
      </c>
      <c r="B5" s="3" t="s">
        <v>30</v>
      </c>
      <c r="C5" s="3" t="s">
        <v>53</v>
      </c>
      <c r="D5" s="3">
        <v>2019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59</v>
      </c>
      <c r="K5" s="3" t="s">
        <v>60</v>
      </c>
      <c r="L5" s="3" t="s">
        <v>61</v>
      </c>
      <c r="M5" s="3" t="s">
        <v>62</v>
      </c>
      <c r="N5" s="4" t="s">
        <v>27</v>
      </c>
      <c r="O5" s="4" t="s">
        <v>28</v>
      </c>
      <c r="P5" s="3" t="s">
        <v>151</v>
      </c>
    </row>
    <row r="6" spans="1:16" ht="37.5" customHeight="1">
      <c r="A6" s="3" t="s">
        <v>63</v>
      </c>
      <c r="B6" s="3" t="s">
        <v>30</v>
      </c>
      <c r="C6" s="3" t="s">
        <v>64</v>
      </c>
      <c r="D6" s="3">
        <v>2022</v>
      </c>
      <c r="E6" s="3" t="s">
        <v>65</v>
      </c>
      <c r="F6" s="3" t="s">
        <v>66</v>
      </c>
      <c r="G6" s="3" t="s">
        <v>67</v>
      </c>
      <c r="H6" s="3" t="s">
        <v>68</v>
      </c>
      <c r="I6" s="3" t="s">
        <v>69</v>
      </c>
      <c r="J6" s="3" t="s">
        <v>70</v>
      </c>
      <c r="K6" s="3" t="s">
        <v>71</v>
      </c>
      <c r="L6" s="3" t="s">
        <v>72</v>
      </c>
      <c r="M6" s="3" t="s">
        <v>73</v>
      </c>
      <c r="N6" s="4" t="s">
        <v>27</v>
      </c>
      <c r="O6" s="4" t="s">
        <v>28</v>
      </c>
      <c r="P6" s="3" t="s">
        <v>151</v>
      </c>
    </row>
    <row r="7" spans="1:16" ht="34.5" customHeight="1">
      <c r="A7" s="3" t="s">
        <v>74</v>
      </c>
      <c r="B7" s="3" t="s">
        <v>75</v>
      </c>
      <c r="C7" s="3" t="s">
        <v>76</v>
      </c>
      <c r="D7" s="3">
        <v>2018</v>
      </c>
      <c r="E7" s="3" t="s">
        <v>77</v>
      </c>
      <c r="F7" s="3" t="s">
        <v>78</v>
      </c>
      <c r="G7" s="3" t="s">
        <v>79</v>
      </c>
      <c r="H7" s="3" t="s">
        <v>80</v>
      </c>
      <c r="I7" s="3" t="s">
        <v>81</v>
      </c>
      <c r="J7" s="3" t="s">
        <v>82</v>
      </c>
      <c r="K7" s="3" t="s">
        <v>83</v>
      </c>
      <c r="L7" s="3" t="s">
        <v>84</v>
      </c>
      <c r="M7" s="3" t="s">
        <v>85</v>
      </c>
      <c r="N7" s="4" t="s">
        <v>86</v>
      </c>
      <c r="O7" s="4" t="s">
        <v>28</v>
      </c>
      <c r="P7" s="3" t="s">
        <v>155</v>
      </c>
    </row>
    <row r="8" spans="1:16" ht="45.75" customHeight="1">
      <c r="A8" s="3" t="s">
        <v>87</v>
      </c>
      <c r="B8" s="3" t="s">
        <v>30</v>
      </c>
      <c r="C8" s="3" t="s">
        <v>88</v>
      </c>
      <c r="D8" s="3">
        <v>2013</v>
      </c>
      <c r="E8" s="3" t="s">
        <v>89</v>
      </c>
      <c r="F8" s="3" t="s">
        <v>90</v>
      </c>
      <c r="G8" s="3" t="s">
        <v>91</v>
      </c>
      <c r="H8" s="3" t="s">
        <v>92</v>
      </c>
      <c r="I8" s="3" t="s">
        <v>93</v>
      </c>
      <c r="J8" s="3" t="s">
        <v>94</v>
      </c>
      <c r="K8" s="3" t="s">
        <v>95</v>
      </c>
      <c r="L8" s="3" t="s">
        <v>96</v>
      </c>
      <c r="M8" s="3" t="s">
        <v>97</v>
      </c>
      <c r="N8" s="4" t="s">
        <v>27</v>
      </c>
      <c r="O8" s="4" t="s">
        <v>28</v>
      </c>
      <c r="P8" s="3" t="s">
        <v>151</v>
      </c>
    </row>
    <row r="9" spans="1:16" ht="45.75" customHeight="1">
      <c r="A9" s="3" t="s">
        <v>98</v>
      </c>
      <c r="B9" s="3" t="s">
        <v>30</v>
      </c>
      <c r="C9" s="3" t="s">
        <v>100</v>
      </c>
      <c r="D9" s="3">
        <v>2021</v>
      </c>
      <c r="E9" s="3" t="s">
        <v>101</v>
      </c>
      <c r="F9" s="3" t="s">
        <v>102</v>
      </c>
      <c r="G9" s="3" t="s">
        <v>103</v>
      </c>
      <c r="H9" s="3" t="s">
        <v>104</v>
      </c>
      <c r="I9" s="3" t="s">
        <v>105</v>
      </c>
      <c r="J9" s="3" t="s">
        <v>106</v>
      </c>
      <c r="K9" s="3" t="s">
        <v>107</v>
      </c>
      <c r="L9" s="3" t="s">
        <v>108</v>
      </c>
      <c r="M9" s="3" t="s">
        <v>109</v>
      </c>
      <c r="N9" s="4" t="s">
        <v>27</v>
      </c>
      <c r="O9" s="4" t="s">
        <v>28</v>
      </c>
      <c r="P9" s="3" t="s">
        <v>151</v>
      </c>
    </row>
    <row r="10" spans="1:16" ht="45.75" customHeight="1">
      <c r="A10" s="3" t="s">
        <v>99</v>
      </c>
      <c r="B10" s="3" t="s">
        <v>112</v>
      </c>
      <c r="C10" s="3" t="s">
        <v>113</v>
      </c>
      <c r="D10" s="3" t="s">
        <v>114</v>
      </c>
      <c r="E10" s="3" t="s">
        <v>115</v>
      </c>
      <c r="F10" s="3" t="s">
        <v>116</v>
      </c>
      <c r="G10" s="3" t="s">
        <v>117</v>
      </c>
      <c r="H10" s="3" t="s">
        <v>118</v>
      </c>
      <c r="I10" s="3" t="s">
        <v>119</v>
      </c>
      <c r="J10" s="3" t="s">
        <v>120</v>
      </c>
      <c r="K10" s="3" t="s">
        <v>121</v>
      </c>
      <c r="L10" s="3" t="s">
        <v>122</v>
      </c>
      <c r="M10" s="3" t="s">
        <v>123</v>
      </c>
      <c r="N10" s="4" t="s">
        <v>86</v>
      </c>
      <c r="O10" s="4" t="s">
        <v>28</v>
      </c>
      <c r="P10" s="3" t="s">
        <v>210</v>
      </c>
    </row>
    <row r="11" spans="1:16" ht="45.75" customHeight="1">
      <c r="A11" s="3" t="s">
        <v>110</v>
      </c>
      <c r="B11" s="3" t="s">
        <v>112</v>
      </c>
      <c r="C11" s="3" t="s">
        <v>124</v>
      </c>
      <c r="D11" s="3" t="s">
        <v>125</v>
      </c>
      <c r="E11" s="3" t="s">
        <v>126</v>
      </c>
      <c r="F11" s="3" t="s">
        <v>127</v>
      </c>
      <c r="G11" s="3" t="s">
        <v>128</v>
      </c>
      <c r="H11" s="3" t="s">
        <v>129</v>
      </c>
      <c r="I11" s="3" t="s">
        <v>130</v>
      </c>
      <c r="J11" s="3" t="s">
        <v>120</v>
      </c>
      <c r="K11" s="3" t="s">
        <v>131</v>
      </c>
      <c r="L11" s="3" t="s">
        <v>132</v>
      </c>
      <c r="M11" s="3" t="s">
        <v>133</v>
      </c>
      <c r="N11" s="4" t="s">
        <v>27</v>
      </c>
      <c r="O11" s="4" t="s">
        <v>28</v>
      </c>
      <c r="P11" s="3" t="s">
        <v>211</v>
      </c>
    </row>
    <row r="12" spans="1:16" ht="34.5" customHeight="1">
      <c r="A12" s="3" t="s">
        <v>111</v>
      </c>
      <c r="B12" s="3" t="s">
        <v>134</v>
      </c>
      <c r="C12" s="3" t="s">
        <v>135</v>
      </c>
      <c r="D12" s="3" t="s">
        <v>136</v>
      </c>
      <c r="E12" s="3" t="s">
        <v>137</v>
      </c>
      <c r="F12" s="3" t="s">
        <v>138</v>
      </c>
      <c r="G12" s="3" t="s">
        <v>139</v>
      </c>
      <c r="H12" s="3" t="s">
        <v>140</v>
      </c>
      <c r="I12" s="3" t="s">
        <v>141</v>
      </c>
      <c r="J12" s="3" t="s">
        <v>120</v>
      </c>
      <c r="K12" s="3" t="s">
        <v>24</v>
      </c>
      <c r="L12" s="3" t="s">
        <v>142</v>
      </c>
      <c r="M12" s="3" t="s">
        <v>143</v>
      </c>
      <c r="N12" s="4" t="s">
        <v>27</v>
      </c>
      <c r="O12" s="4" t="s">
        <v>208</v>
      </c>
      <c r="P12" s="3" t="s">
        <v>210</v>
      </c>
    </row>
    <row r="13" spans="1:16" ht="34.5" customHeight="1"/>
    <row r="14" spans="1:16" ht="34.5" customHeight="1"/>
    <row r="15" spans="1:16" ht="34.5" customHeight="1"/>
  </sheetData>
  <dataValidations count="2">
    <dataValidation type="list" allowBlank="1" sqref="O2:O198" xr:uid="{00000000-0002-0000-0100-000000000000}">
      <formula1>"Incluir,Excluir,Por evaluar"</formula1>
      <formula2>0</formula2>
    </dataValidation>
    <dataValidation type="list" allowBlank="1" sqref="N2:N198" xr:uid="{00000000-0002-0000-0100-000001000000}">
      <formula1>"Resumen,Texto completo,No leído"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zoomScaleNormal="100" workbookViewId="0">
      <selection activeCell="B4" sqref="B4"/>
    </sheetView>
  </sheetViews>
  <sheetFormatPr baseColWidth="10" defaultColWidth="8.7109375" defaultRowHeight="15"/>
  <cols>
    <col min="1" max="1" width="16" style="1" customWidth="1"/>
    <col min="2" max="2" width="24" style="1" customWidth="1"/>
    <col min="3" max="3" width="50" style="1" customWidth="1"/>
    <col min="4" max="4" width="26" style="1" customWidth="1"/>
    <col min="5" max="5" width="18" style="1" customWidth="1"/>
    <col min="6" max="6" width="16" style="1" customWidth="1"/>
  </cols>
  <sheetData>
    <row r="1" spans="1:6" ht="15" customHeight="1">
      <c r="A1" s="5" t="s">
        <v>144</v>
      </c>
    </row>
    <row r="3" spans="1:6" ht="23.25" customHeight="1">
      <c r="A3" s="2" t="s">
        <v>145</v>
      </c>
      <c r="B3" s="2" t="s">
        <v>146</v>
      </c>
      <c r="C3" s="2" t="s">
        <v>147</v>
      </c>
      <c r="D3" s="2" t="s">
        <v>148</v>
      </c>
      <c r="E3" s="2" t="s">
        <v>149</v>
      </c>
      <c r="F3" s="2" t="s">
        <v>150</v>
      </c>
    </row>
    <row r="4" spans="1:6" ht="15" customHeight="1">
      <c r="A4" s="14">
        <v>46315</v>
      </c>
      <c r="B4" s="4" t="s">
        <v>151</v>
      </c>
      <c r="C4" s="4" t="s">
        <v>152</v>
      </c>
      <c r="D4" s="4" t="s">
        <v>153</v>
      </c>
      <c r="E4" s="4">
        <v>50</v>
      </c>
      <c r="F4" s="4" t="s">
        <v>204</v>
      </c>
    </row>
    <row r="5" spans="1:6" ht="15" customHeight="1">
      <c r="A5" s="14">
        <v>46311</v>
      </c>
      <c r="B5" s="4" t="s">
        <v>154</v>
      </c>
      <c r="C5" s="4" t="s">
        <v>203</v>
      </c>
      <c r="D5" s="4"/>
      <c r="E5" s="4">
        <v>2</v>
      </c>
      <c r="F5" s="4" t="s">
        <v>204</v>
      </c>
    </row>
    <row r="6" spans="1:6" ht="15" customHeight="1">
      <c r="A6" s="14">
        <v>46311</v>
      </c>
      <c r="B6" s="4" t="s">
        <v>154</v>
      </c>
      <c r="C6" s="4" t="s">
        <v>157</v>
      </c>
      <c r="D6" s="4"/>
      <c r="E6" s="4">
        <v>1</v>
      </c>
      <c r="F6" s="4" t="s">
        <v>204</v>
      </c>
    </row>
    <row r="7" spans="1:6" ht="15" customHeight="1">
      <c r="A7" s="14">
        <v>46315</v>
      </c>
      <c r="B7" s="4" t="s">
        <v>155</v>
      </c>
      <c r="C7" s="4" t="s">
        <v>156</v>
      </c>
      <c r="D7" s="4"/>
      <c r="E7" s="4">
        <v>10</v>
      </c>
      <c r="F7" s="4" t="s">
        <v>205</v>
      </c>
    </row>
    <row r="8" spans="1:6" ht="15" customHeight="1">
      <c r="A8" s="14">
        <v>46315</v>
      </c>
      <c r="B8" s="4" t="s">
        <v>155</v>
      </c>
      <c r="C8" s="4" t="s">
        <v>157</v>
      </c>
      <c r="D8" s="4"/>
      <c r="E8" s="4">
        <v>5</v>
      </c>
      <c r="F8" s="4" t="s">
        <v>205</v>
      </c>
    </row>
    <row r="9" spans="1:6" ht="15" customHeight="1">
      <c r="A9" s="14">
        <v>46315</v>
      </c>
      <c r="B9" s="4" t="s">
        <v>155</v>
      </c>
      <c r="C9" s="4" t="s">
        <v>158</v>
      </c>
      <c r="D9" s="4"/>
      <c r="E9" s="4">
        <v>1</v>
      </c>
      <c r="F9" s="4" t="s">
        <v>205</v>
      </c>
    </row>
    <row r="10" spans="1:6" ht="15" customHeight="1">
      <c r="A10" s="14">
        <v>46315</v>
      </c>
      <c r="B10" s="4" t="s">
        <v>155</v>
      </c>
      <c r="C10" s="4" t="s">
        <v>159</v>
      </c>
      <c r="D10" s="4"/>
      <c r="E10" s="4">
        <v>7</v>
      </c>
      <c r="F10" s="4" t="s">
        <v>205</v>
      </c>
    </row>
    <row r="11" spans="1:6" ht="15" customHeight="1">
      <c r="A11" s="14">
        <v>46314</v>
      </c>
      <c r="B11" s="4" t="s">
        <v>160</v>
      </c>
      <c r="C11" s="4" t="s">
        <v>161</v>
      </c>
      <c r="D11" s="4" t="s">
        <v>162</v>
      </c>
      <c r="E11" s="4">
        <v>5</v>
      </c>
      <c r="F11" s="4" t="s">
        <v>206</v>
      </c>
    </row>
    <row r="12" spans="1:6" ht="15" customHeight="1">
      <c r="A12" s="14">
        <v>46316</v>
      </c>
      <c r="B12" s="4" t="s">
        <v>163</v>
      </c>
      <c r="C12" s="4" t="s">
        <v>164</v>
      </c>
      <c r="D12" s="4" t="s">
        <v>165</v>
      </c>
      <c r="E12" s="4">
        <v>20</v>
      </c>
      <c r="F12" s="4" t="s">
        <v>207</v>
      </c>
    </row>
    <row r="13" spans="1:6" ht="15" customHeight="1">
      <c r="A13" s="4"/>
      <c r="B13" s="4"/>
      <c r="C13" s="4"/>
      <c r="D13" s="4"/>
      <c r="E13" s="4"/>
      <c r="F13" s="4"/>
    </row>
    <row r="14" spans="1:6" ht="15" customHeight="1">
      <c r="A14" s="4"/>
      <c r="B14" s="4"/>
      <c r="C14" s="4"/>
      <c r="D14" s="4"/>
      <c r="E14" s="4"/>
      <c r="F14" s="4"/>
    </row>
    <row r="15" spans="1:6" ht="15" customHeight="1">
      <c r="A15" s="4"/>
      <c r="B15" s="4"/>
      <c r="C15" s="4"/>
      <c r="D15" s="4"/>
      <c r="E15" s="4"/>
      <c r="F15" s="4"/>
    </row>
    <row r="16" spans="1:6" ht="15" customHeight="1">
      <c r="A16" s="4"/>
      <c r="B16" s="4"/>
      <c r="C16" s="4"/>
      <c r="D16" s="4"/>
      <c r="E16" s="4"/>
      <c r="F16" s="4"/>
    </row>
    <row r="17" spans="1:6" ht="15" customHeight="1">
      <c r="A17" s="4"/>
      <c r="B17" s="4"/>
      <c r="C17" s="4"/>
      <c r="D17" s="4"/>
      <c r="E17" s="4"/>
      <c r="F17" s="4"/>
    </row>
    <row r="18" spans="1:6" ht="15" customHeight="1">
      <c r="A18" s="4"/>
      <c r="B18" s="4"/>
      <c r="C18" s="4"/>
      <c r="D18" s="4"/>
      <c r="E18" s="4"/>
      <c r="F18" s="4"/>
    </row>
    <row r="19" spans="1:6" ht="15" customHeight="1">
      <c r="A19" s="4"/>
      <c r="B19" s="4"/>
      <c r="C19" s="4"/>
      <c r="D19" s="4"/>
      <c r="E19" s="4"/>
      <c r="F19" s="4"/>
    </row>
    <row r="20" spans="1:6" ht="15" customHeight="1">
      <c r="A20" s="4"/>
      <c r="B20" s="4"/>
      <c r="C20" s="4"/>
      <c r="D20" s="4"/>
      <c r="E20" s="4"/>
      <c r="F20" s="4"/>
    </row>
    <row r="21" spans="1:6" ht="15" customHeight="1">
      <c r="A21" s="4"/>
      <c r="B21" s="4"/>
      <c r="C21" s="4"/>
      <c r="D21" s="4"/>
      <c r="E21" s="4"/>
      <c r="F21" s="4"/>
    </row>
    <row r="22" spans="1:6" ht="15" customHeight="1">
      <c r="A22" s="4"/>
      <c r="B22" s="4"/>
      <c r="C22" s="4"/>
      <c r="D22" s="4"/>
      <c r="E22" s="4"/>
      <c r="F22" s="4"/>
    </row>
    <row r="23" spans="1:6" ht="15" customHeight="1">
      <c r="A23" s="4"/>
      <c r="B23" s="4"/>
      <c r="C23" s="4"/>
      <c r="D23" s="4"/>
      <c r="E23" s="4"/>
      <c r="F23" s="4"/>
    </row>
    <row r="24" spans="1:6" ht="15" customHeight="1">
      <c r="A24" s="4"/>
      <c r="B24" s="4"/>
      <c r="C24" s="4"/>
      <c r="D24" s="4"/>
      <c r="E24" s="4"/>
      <c r="F24" s="4"/>
    </row>
    <row r="25" spans="1:6" ht="15" customHeight="1">
      <c r="A25" s="4"/>
      <c r="B25" s="4"/>
      <c r="C25" s="4"/>
      <c r="D25" s="4"/>
      <c r="E25" s="4"/>
      <c r="F25" s="4"/>
    </row>
    <row r="26" spans="1:6" ht="15" customHeight="1">
      <c r="A26" s="4"/>
      <c r="B26" s="4"/>
      <c r="C26" s="4"/>
      <c r="D26" s="4"/>
      <c r="E26" s="4"/>
      <c r="F26" s="4"/>
    </row>
    <row r="27" spans="1:6" ht="15" customHeight="1">
      <c r="A27" s="4"/>
      <c r="B27" s="4"/>
      <c r="C27" s="4"/>
      <c r="D27" s="4"/>
      <c r="E27" s="4"/>
      <c r="F27" s="4"/>
    </row>
    <row r="28" spans="1:6" ht="30" customHeight="1">
      <c r="A28" s="4"/>
      <c r="B28" s="4"/>
      <c r="C28" s="4"/>
      <c r="D28" s="4"/>
      <c r="E28" s="4"/>
      <c r="F28" s="4"/>
    </row>
    <row r="29" spans="1:6" ht="15" customHeight="1">
      <c r="A29" s="4"/>
      <c r="B29" s="4"/>
      <c r="C29" s="4"/>
      <c r="D29" s="4"/>
      <c r="E29" s="4"/>
      <c r="F2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"/>
  <sheetViews>
    <sheetView zoomScaleNormal="100" workbookViewId="0">
      <selection activeCell="C29" sqref="C29"/>
    </sheetView>
  </sheetViews>
  <sheetFormatPr baseColWidth="10" defaultColWidth="8.7109375" defaultRowHeight="15"/>
  <cols>
    <col min="1" max="1" width="52" style="1" customWidth="1"/>
    <col min="2" max="2" width="14" style="1" customWidth="1"/>
    <col min="3" max="3" width="70" style="1" customWidth="1"/>
  </cols>
  <sheetData>
    <row r="1" spans="1:3" ht="15" customHeight="1">
      <c r="A1" s="6" t="s">
        <v>166</v>
      </c>
    </row>
    <row r="3" spans="1:3" ht="15" customHeight="1">
      <c r="A3" s="2" t="s">
        <v>167</v>
      </c>
      <c r="B3" s="2" t="s">
        <v>168</v>
      </c>
      <c r="C3" s="2" t="s">
        <v>169</v>
      </c>
    </row>
    <row r="4" spans="1:3" ht="23.25" customHeight="1">
      <c r="A4" s="3" t="s">
        <v>170</v>
      </c>
      <c r="B4" s="7">
        <f>SUM(Búsqueda!E4:E29)</f>
        <v>101</v>
      </c>
      <c r="C4" s="3" t="s">
        <v>171</v>
      </c>
    </row>
    <row r="5" spans="1:3" ht="23.25" customHeight="1">
      <c r="A5" s="3" t="s">
        <v>172</v>
      </c>
      <c r="B5" s="8">
        <v>13</v>
      </c>
      <c r="C5" s="3" t="s">
        <v>173</v>
      </c>
    </row>
    <row r="6" spans="1:3" ht="15" customHeight="1">
      <c r="A6" s="3" t="s">
        <v>174</v>
      </c>
      <c r="B6" s="8">
        <v>2</v>
      </c>
      <c r="C6" s="3" t="s">
        <v>175</v>
      </c>
    </row>
    <row r="7" spans="1:3" ht="15" customHeight="1">
      <c r="A7" s="3" t="s">
        <v>176</v>
      </c>
      <c r="B7" s="7">
        <f>B4+B5-B6</f>
        <v>112</v>
      </c>
      <c r="C7" s="3" t="s">
        <v>177</v>
      </c>
    </row>
    <row r="8" spans="1:3" ht="15" customHeight="1">
      <c r="A8" s="3" t="s">
        <v>178</v>
      </c>
      <c r="B8" s="8">
        <v>87</v>
      </c>
      <c r="C8" s="3" t="s">
        <v>179</v>
      </c>
    </row>
    <row r="9" spans="1:3" ht="15" customHeight="1">
      <c r="A9" s="3" t="s">
        <v>180</v>
      </c>
      <c r="B9" s="7">
        <f>IF(B8="","",B7-B8)</f>
        <v>25</v>
      </c>
      <c r="C9" s="3" t="s">
        <v>181</v>
      </c>
    </row>
    <row r="10" spans="1:3" ht="15" customHeight="1">
      <c r="A10" s="3" t="s">
        <v>182</v>
      </c>
      <c r="B10" s="8">
        <v>13</v>
      </c>
      <c r="C10" s="3" t="s">
        <v>183</v>
      </c>
    </row>
    <row r="11" spans="1:3" ht="15" customHeight="1">
      <c r="A11" s="3" t="s">
        <v>184</v>
      </c>
      <c r="B11" s="7">
        <f>IF(OR(B8="",B10=""),"",B9-B10)</f>
        <v>12</v>
      </c>
      <c r="C11" s="3" t="s">
        <v>185</v>
      </c>
    </row>
    <row r="12" spans="1:3" ht="15" customHeight="1">
      <c r="A12" s="3" t="s">
        <v>186</v>
      </c>
      <c r="B12" s="7">
        <f>COUNTIF(Documentos!O2:O198,"Incluir")</f>
        <v>10</v>
      </c>
      <c r="C12" s="3" t="s">
        <v>187</v>
      </c>
    </row>
    <row r="13" spans="1:3" ht="15" customHeight="1">
      <c r="A13" s="3" t="s">
        <v>188</v>
      </c>
      <c r="B13" s="7" t="str">
        <f>IF(B11="","Pendiente",IF(B11=B12,"Sí","Revisar"))</f>
        <v>Revisar</v>
      </c>
      <c r="C13" s="3" t="s">
        <v>189</v>
      </c>
    </row>
    <row r="16" spans="1:3" ht="15" customHeight="1">
      <c r="A16" s="5" t="s">
        <v>190</v>
      </c>
    </row>
    <row r="17" spans="1:3" ht="30" customHeight="1">
      <c r="A17" s="15" t="s">
        <v>191</v>
      </c>
      <c r="B17" s="15"/>
      <c r="C17" s="15"/>
    </row>
    <row r="18" spans="1:3" ht="30" customHeight="1">
      <c r="A18" s="15" t="s">
        <v>192</v>
      </c>
      <c r="B18" s="15"/>
      <c r="C18" s="15"/>
    </row>
    <row r="19" spans="1:3" ht="30" customHeight="1">
      <c r="A19" s="15" t="s">
        <v>193</v>
      </c>
      <c r="B19" s="15"/>
      <c r="C19" s="15"/>
    </row>
    <row r="20" spans="1:3" ht="30" customHeight="1">
      <c r="A20" s="9" t="s">
        <v>194</v>
      </c>
      <c r="B20" s="10"/>
      <c r="C20" s="10"/>
    </row>
    <row r="21" spans="1:3" ht="15" customHeight="1">
      <c r="A21" s="11" t="s">
        <v>195</v>
      </c>
      <c r="B21" s="11" t="s">
        <v>196</v>
      </c>
      <c r="C21" s="10"/>
    </row>
    <row r="22" spans="1:3" ht="15" customHeight="1">
      <c r="A22" s="12" t="s">
        <v>197</v>
      </c>
      <c r="B22" s="12">
        <v>57</v>
      </c>
      <c r="C22" s="10"/>
    </row>
    <row r="23" spans="1:3" ht="15" customHeight="1">
      <c r="A23" s="12" t="s">
        <v>198</v>
      </c>
      <c r="B23" s="12">
        <v>6</v>
      </c>
      <c r="C23" s="10"/>
    </row>
    <row r="24" spans="1:3" ht="15" customHeight="1">
      <c r="A24" s="12" t="s">
        <v>199</v>
      </c>
      <c r="B24" s="12">
        <v>7</v>
      </c>
      <c r="C24" s="10"/>
    </row>
    <row r="25" spans="1:3" ht="15" customHeight="1">
      <c r="A25" s="12" t="s">
        <v>200</v>
      </c>
      <c r="B25" s="12">
        <v>30</v>
      </c>
      <c r="C25" s="10"/>
    </row>
    <row r="26" spans="1:3" ht="15" customHeight="1">
      <c r="A26" s="13" t="s">
        <v>201</v>
      </c>
      <c r="B26" s="7">
        <f>SUM(B22:B25)</f>
        <v>100</v>
      </c>
      <c r="C26" s="10"/>
    </row>
    <row r="27" spans="1:3" ht="15" customHeight="1">
      <c r="A27" s="13" t="s">
        <v>202</v>
      </c>
      <c r="B27" s="7">
        <f>B8+B10</f>
        <v>100</v>
      </c>
      <c r="C27" s="10"/>
    </row>
    <row r="28" spans="1:3">
      <c r="A28" s="10"/>
      <c r="B28" s="10"/>
      <c r="C28" s="10"/>
    </row>
  </sheetData>
  <mergeCells count="3">
    <mergeCell ref="A17:C17"/>
    <mergeCell ref="A18:C18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Documentos</vt:lpstr>
      <vt:lpstr>Búsqueda</vt:lpstr>
      <vt:lpstr>PRISMA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CRAI PORTATIL</cp:lastModifiedBy>
  <cp:revision>0</cp:revision>
  <dcterms:created xsi:type="dcterms:W3CDTF">2026-10-21T03:49:23Z</dcterms:created>
  <dcterms:modified xsi:type="dcterms:W3CDTF">2026-10-21T20:36:26Z</dcterms:modified>
  <dc:language>en-US</dc:language>
</cp:coreProperties>
</file>